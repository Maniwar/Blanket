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+Unit" sheetId="1" state="visible" r:id="rId1"/>
    <sheet name="Annual P&amp;L" sheetId="2" state="visible" r:id="rId2"/>
    <sheet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6">
    <font>
      <name val="Calibri"/>
      <family val="2"/>
      <color theme="1"/>
      <sz val="11"/>
      <scheme val="minor"/>
    </font>
    <font>
      <name val="Georgia"/>
      <b val="1"/>
      <color rgb="0026332B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222222"/>
      <sz val="10"/>
    </font>
  </fonts>
  <fills count="5">
    <fill>
      <patternFill/>
    </fill>
    <fill>
      <patternFill patternType="gray125"/>
    </fill>
    <fill>
      <patternFill patternType="solid">
        <fgColor rgb="0026332B"/>
      </patternFill>
    </fill>
    <fill>
      <patternFill patternType="solid">
        <fgColor rgb="00FFF3D6"/>
      </patternFill>
    </fill>
    <fill>
      <patternFill patternType="solid">
        <fgColor rgb="00EFEF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0" fillId="3" borderId="1" pivotButton="0" quotePrefix="0" xfId="0"/>
    <xf numFmtId="3" fontId="0" fillId="3" borderId="1" pivotButton="0" quotePrefix="0" xfId="0"/>
    <xf numFmtId="165" fontId="0" fillId="3" borderId="1" pivotButton="0" quotePrefix="0" xfId="0"/>
    <xf numFmtId="164" fontId="0" fillId="4" borderId="1" pivotButton="0" quotePrefix="0" xfId="0"/>
    <xf numFmtId="0" fontId="5" fillId="0" borderId="0" pivotButton="0" quotePrefix="0" xfId="0"/>
    <xf numFmtId="165" fontId="0" fillId="4" borderId="1" pivotButton="0" quotePrefix="0" xfId="0"/>
    <xf numFmtId="166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52" customWidth="1" min="3" max="3"/>
  </cols>
  <sheetData>
    <row r="1">
      <c r="A1" s="1" t="inlineStr">
        <is>
          <t>FEIERABEND — DECKE 01 · P&amp;L MODEL</t>
        </is>
      </c>
    </row>
    <row r="2">
      <c r="A2" s="2" t="inlineStr">
        <is>
          <t>Yellow cells are assumptions — edit them; everything else recalculates.</t>
        </is>
      </c>
    </row>
    <row r="4">
      <c r="A4" s="3" t="inlineStr">
        <is>
          <t>ASSUMPTIONS</t>
        </is>
      </c>
      <c r="B4" s="4" t="n"/>
      <c r="C4" s="4" t="n"/>
    </row>
    <row r="5">
      <c r="A5" s="5" t="inlineStr">
        <is>
          <t>Retail price (duties &amp; delivery included)</t>
        </is>
      </c>
      <c r="B5" s="6" t="n">
        <v>589</v>
      </c>
      <c r="C5" s="2" t="inlineStr">
        <is>
          <t>site pricing</t>
        </is>
      </c>
    </row>
    <row r="6">
      <c r="A6" s="5" t="inlineStr">
        <is>
          <t>Annual run (units)</t>
        </is>
      </c>
      <c r="B6" s="7" t="n">
        <v>15000</v>
      </c>
      <c r="C6" s="2" t="inlineStr">
        <is>
          <t>15,000 a year — never more</t>
        </is>
      </c>
    </row>
    <row r="7">
      <c r="A7" s="5" t="inlineStr">
        <is>
          <t>Return rate (30-night trial)</t>
        </is>
      </c>
      <c r="B7" s="8" t="n">
        <v>0.07000000000000001</v>
      </c>
      <c r="C7" s="2" t="inlineStr">
        <is>
          <t>premium DTC bedding norm 5–10%</t>
        </is>
      </c>
    </row>
    <row r="8">
      <c r="A8" s="5" t="inlineStr">
        <is>
          <t>Value recovered on returns</t>
        </is>
      </c>
      <c r="B8" s="8" t="n">
        <v>0.5</v>
      </c>
      <c r="C8" s="2" t="inlineStr">
        <is>
          <t>resold via seconds/mended channel</t>
        </is>
      </c>
    </row>
    <row r="9">
      <c r="A9" s="5" t="inlineStr">
        <is>
          <t>Mill cost / unit (yarn, weave, finish, numbering)</t>
        </is>
      </c>
      <c r="B9" s="6" t="n">
        <v>98</v>
      </c>
      <c r="C9" s="2" t="inlineStr">
        <is>
          <t>~1.6 kg merino yarn in; EU mill ex-works €70–100</t>
        </is>
      </c>
    </row>
    <row r="10">
      <c r="A10" s="5" t="inlineStr">
        <is>
          <t>Packaging / unit (box, twill, seal, card, shipper)</t>
        </is>
      </c>
      <c r="B10" s="6" t="n">
        <v>18</v>
      </c>
      <c r="C10" s="2" t="inlineStr">
        <is>
          <t>rigid box ~$10 at volume</t>
        </is>
      </c>
    </row>
    <row r="11">
      <c r="A11" s="5" t="inlineStr">
        <is>
          <t>Freight to US / unit (sea, consolidated)</t>
        </is>
      </c>
      <c r="B11" s="6" t="n">
        <v>8</v>
      </c>
      <c r="C11" s="2" t="inlineStr"/>
    </row>
    <row r="12">
      <c r="A12" s="5" t="inlineStr">
        <is>
          <t>EU tariff on customs value</t>
        </is>
      </c>
      <c r="B12" s="8" t="n">
        <v>0.15</v>
      </c>
      <c r="C12" s="2" t="inlineStr">
        <is>
          <t>2025 US–EU trade deal</t>
        </is>
      </c>
    </row>
    <row r="13">
      <c r="A13" s="5" t="inlineStr">
        <is>
          <t>3PL pick-pack + last-mile / unit</t>
        </is>
      </c>
      <c r="B13" s="6" t="n">
        <v>21</v>
      </c>
      <c r="C13" s="2" t="inlineStr">
        <is>
          <t>5–6 lb dimensional box</t>
        </is>
      </c>
    </row>
    <row r="14">
      <c r="A14" s="5" t="inlineStr">
        <is>
          <t>Payment processing (% of price)</t>
        </is>
      </c>
      <c r="B14" s="8" t="n">
        <v>0.029</v>
      </c>
      <c r="C14" s="2" t="inlineStr"/>
    </row>
    <row r="15">
      <c r="A15" s="5" t="inlineStr">
        <is>
          <t>Return ship + handling / return</t>
        </is>
      </c>
      <c r="B15" s="6" t="n">
        <v>20</v>
      </c>
      <c r="C15" s="2" t="inlineStr"/>
    </row>
    <row r="16">
      <c r="A16" s="5" t="inlineStr">
        <is>
          <t>Lifetime-mending reserve / unit</t>
        </is>
      </c>
      <c r="B16" s="6" t="n">
        <v>3</v>
      </c>
      <c r="C16" s="2" t="inlineStr">
        <is>
          <t>low redemption; brand equity</t>
        </is>
      </c>
    </row>
    <row r="17">
      <c r="A17" s="5" t="inlineStr">
        <is>
          <t>Blended CAC / unit sold</t>
        </is>
      </c>
      <c r="B17" s="6" t="n">
        <v>120</v>
      </c>
      <c r="C17" s="2" t="inlineStr">
        <is>
          <t>the biggest swing — see Scenarios</t>
        </is>
      </c>
    </row>
    <row r="18">
      <c r="A18" s="5" t="inlineStr">
        <is>
          <t>Team, content, tools, G&amp;A (annual)</t>
        </is>
      </c>
      <c r="B18" s="6" t="n">
        <v>1100000</v>
      </c>
      <c r="C18" s="2" t="inlineStr">
        <is>
          <t>~5–6 heads incl. white-glove CX</t>
        </is>
      </c>
    </row>
    <row r="20">
      <c r="A20" s="3" t="inlineStr">
        <is>
          <t>UNIT ECONOMICS</t>
        </is>
      </c>
      <c r="B20" s="4" t="n"/>
      <c r="C20" s="4" t="n"/>
    </row>
    <row r="21">
      <c r="A21" s="5" t="inlineStr">
        <is>
          <t>Landed COGS / unit</t>
        </is>
      </c>
      <c r="B21" s="9">
        <f>B9+B10+B11+(B9+B10)*B12</f>
        <v/>
      </c>
      <c r="C21" s="2" t="inlineStr">
        <is>
          <t>mill + packaging + freight + tariff</t>
        </is>
      </c>
    </row>
    <row r="22">
      <c r="A22" s="10" t="inlineStr">
        <is>
          <t>Gross margin / unit</t>
        </is>
      </c>
      <c r="B22" s="9">
        <f>B5-B21</f>
        <v/>
      </c>
      <c r="C22" s="2" t="inlineStr"/>
    </row>
    <row r="23">
      <c r="A23" s="10" t="inlineStr">
        <is>
          <t>Gross margin %</t>
        </is>
      </c>
      <c r="B23" s="11">
        <f>B22/B5</f>
        <v/>
      </c>
      <c r="C23" s="2" t="inlineStr">
        <is>
          <t>target 70–80% for premium DTC</t>
        </is>
      </c>
    </row>
    <row r="24">
      <c r="A24" s="5" t="inlineStr">
        <is>
          <t>Returns cost / unit (averaged over all units)</t>
        </is>
      </c>
      <c r="B24" s="12">
        <f>B7*(B15+(B9+B10)*(1-B8))</f>
        <v/>
      </c>
      <c r="C24" s="2" t="inlineStr">
        <is>
          <t>ship+handling plus unrecovered product value</t>
        </is>
      </c>
    </row>
    <row r="25">
      <c r="A25" s="5" t="inlineStr">
        <is>
          <t>Fulfillment + payments / unit</t>
        </is>
      </c>
      <c r="B25" s="12">
        <f>B13+B5*B14</f>
        <v/>
      </c>
      <c r="C25" s="2" t="inlineStr"/>
    </row>
    <row r="26">
      <c r="A26" s="10" t="inlineStr">
        <is>
          <t>Contribution before marketing / unit</t>
        </is>
      </c>
      <c r="B26" s="9">
        <f>B5-B21-B24-B25-B16</f>
        <v/>
      </c>
      <c r="C26" s="2" t="inlineStr"/>
    </row>
    <row r="27">
      <c r="A27" s="10" t="inlineStr">
        <is>
          <t>Contribution after CAC / unit</t>
        </is>
      </c>
      <c r="B27" s="9">
        <f>B26-B17</f>
        <v/>
      </c>
      <c r="C2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46" customWidth="1" min="4" max="4"/>
  </cols>
  <sheetData>
    <row r="1">
      <c r="A1" s="1" t="inlineStr">
        <is>
          <t>ANNUAL P&amp;L — SELL-OUT YEAR</t>
        </is>
      </c>
    </row>
    <row r="3">
      <c r="A3" s="3" t="inlineStr">
        <is>
          <t>Line</t>
        </is>
      </c>
      <c r="B3" s="3" t="inlineStr">
        <is>
          <t>$</t>
        </is>
      </c>
      <c r="C3" s="3" t="inlineStr">
        <is>
          <t>% net rev</t>
        </is>
      </c>
      <c r="D3" s="3" t="inlineStr">
        <is>
          <t>Notes</t>
        </is>
      </c>
    </row>
    <row r="4">
      <c r="A4" s="5" t="inlineStr">
        <is>
          <t>Gross revenue</t>
        </is>
      </c>
      <c r="B4" s="13">
        <f>'Assumptions+Unit'!B5*'Assumptions+Unit'!B6</f>
        <v/>
      </c>
      <c r="C4" s="14">
        <f>B4/B$6</f>
        <v/>
      </c>
      <c r="D4" s="2" t="inlineStr">
        <is>
          <t>price × units</t>
        </is>
      </c>
    </row>
    <row r="5">
      <c r="A5" s="5" t="inlineStr">
        <is>
          <t>Returns &amp; allowances</t>
        </is>
      </c>
      <c r="B5" s="13">
        <f>-'Assumptions+Unit'!B5*'Assumptions+Unit'!B6*'Assumptions+Unit'!B7*(1-'Assumptions+Unit'!B8)</f>
        <v/>
      </c>
      <c r="C5" s="14">
        <f>B5/B$6</f>
        <v/>
      </c>
      <c r="D5" s="2" t="inlineStr">
        <is>
          <t>unrecovered refunds</t>
        </is>
      </c>
    </row>
    <row r="6">
      <c r="A6" s="10" t="inlineStr">
        <is>
          <t>Net revenue</t>
        </is>
      </c>
      <c r="B6" s="9">
        <f>B4+B5</f>
        <v/>
      </c>
      <c r="C6" s="14">
        <f>B6/B$6</f>
        <v/>
      </c>
      <c r="D6" s="2" t="inlineStr"/>
    </row>
    <row r="7">
      <c r="A7" s="5" t="inlineStr">
        <is>
          <t>COGS (landed)</t>
        </is>
      </c>
      <c r="B7" s="13">
        <f>-'Assumptions+Unit'!B21*'Assumptions+Unit'!B6</f>
        <v/>
      </c>
      <c r="C7" s="14">
        <f>B7/B$6</f>
        <v/>
      </c>
      <c r="D7" s="2" t="inlineStr"/>
    </row>
    <row r="8">
      <c r="A8" s="10" t="inlineStr">
        <is>
          <t>Gross profit</t>
        </is>
      </c>
      <c r="B8" s="9">
        <f>B6+B7</f>
        <v/>
      </c>
      <c r="C8" s="14">
        <f>B8/B$6</f>
        <v/>
      </c>
      <c r="D8" s="2" t="inlineStr"/>
    </row>
    <row r="9">
      <c r="A9" s="5" t="inlineStr">
        <is>
          <t>Fulfillment, payments, returns, mending</t>
        </is>
      </c>
      <c r="B9" s="13">
        <f>-('Assumptions+Unit'!B25+'Assumptions+Unit'!B24+'Assumptions+Unit'!B16)*'Assumptions+Unit'!B6</f>
        <v/>
      </c>
      <c r="C9" s="14">
        <f>B9/B$6</f>
        <v/>
      </c>
      <c r="D9" s="2" t="inlineStr"/>
    </row>
    <row r="10">
      <c r="A10" s="10" t="inlineStr">
        <is>
          <t>Contribution</t>
        </is>
      </c>
      <c r="B10" s="9">
        <f>B8+B9</f>
        <v/>
      </c>
      <c r="C10" s="14">
        <f>B10/B$6</f>
        <v/>
      </c>
      <c r="D10" s="2" t="inlineStr"/>
    </row>
    <row r="11">
      <c r="A11" s="5" t="inlineStr">
        <is>
          <t>Marketing</t>
        </is>
      </c>
      <c r="B11" s="13">
        <f>-'Assumptions+Unit'!B17*'Assumptions+Unit'!B6</f>
        <v/>
      </c>
      <c r="C11" s="14">
        <f>B11/B$6</f>
        <v/>
      </c>
      <c r="D11" s="2" t="inlineStr">
        <is>
          <t>blended CAC × units</t>
        </is>
      </c>
    </row>
    <row r="12">
      <c r="A12" s="5" t="inlineStr">
        <is>
          <t>Team, content, tools, G&amp;A</t>
        </is>
      </c>
      <c r="B12" s="13">
        <f>-'Assumptions+Unit'!B18</f>
        <v/>
      </c>
      <c r="C12" s="14">
        <f>B12/B$6</f>
        <v/>
      </c>
      <c r="D12" s="2" t="inlineStr"/>
    </row>
    <row r="13">
      <c r="A13" s="10" t="inlineStr">
        <is>
          <t>EBITDA</t>
        </is>
      </c>
      <c r="B13" s="9">
        <f>B10+B11+B12</f>
        <v/>
      </c>
      <c r="C13" s="14">
        <f>B13/B$6</f>
        <v/>
      </c>
      <c r="D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SCENARIOS — YEAR ONE REALITY CHECK</t>
        </is>
      </c>
    </row>
    <row r="3">
      <c r="A3" s="3" t="inlineStr"/>
      <c r="B3" s="3" t="inlineStr">
        <is>
          <t>Conservative</t>
        </is>
      </c>
      <c r="C3" s="3" t="inlineStr">
        <is>
          <t>Base</t>
        </is>
      </c>
      <c r="D3" s="3" t="inlineStr">
        <is>
          <t>Sell-out</t>
        </is>
      </c>
    </row>
    <row r="4">
      <c r="A4" t="inlineStr">
        <is>
          <t>Units sold</t>
        </is>
      </c>
      <c r="B4" s="7" t="n">
        <v>3000</v>
      </c>
      <c r="C4" s="7" t="n">
        <v>8000</v>
      </c>
      <c r="D4" s="7" t="n">
        <v>15000</v>
      </c>
    </row>
    <row r="5">
      <c r="A5" t="inlineStr">
        <is>
          <t>Blended CAC</t>
        </is>
      </c>
      <c r="B5" s="6" t="n">
        <v>200</v>
      </c>
      <c r="C5" s="6" t="n">
        <v>150</v>
      </c>
      <c r="D5" s="6" t="n">
        <v>120</v>
      </c>
    </row>
    <row r="6">
      <c r="A6" s="5" t="inlineStr">
        <is>
          <t>Net revenue</t>
        </is>
      </c>
      <c r="B6" s="9">
        <f>'Assumptions+Unit'!B5*B4*(1-'Assumptions+Unit'!B7*(1-'Assumptions+Unit'!B8))</f>
        <v/>
      </c>
      <c r="C6" s="9">
        <f>'Assumptions+Unit'!B5*C4*(1-'Assumptions+Unit'!B7*(1-'Assumptions+Unit'!B8))</f>
        <v/>
      </c>
      <c r="D6" s="9">
        <f>'Assumptions+Unit'!B5*D4*(1-'Assumptions+Unit'!B7*(1-'Assumptions+Unit'!B8))</f>
        <v/>
      </c>
    </row>
    <row r="7">
      <c r="A7" s="5" t="inlineStr">
        <is>
          <t>Contribution</t>
        </is>
      </c>
      <c r="B7" s="9">
        <f>'Assumptions+Unit'!B26*B4</f>
        <v/>
      </c>
      <c r="C7" s="9">
        <f>'Assumptions+Unit'!B26*C4</f>
        <v/>
      </c>
      <c r="D7" s="9">
        <f>'Assumptions+Unit'!B26*D4</f>
        <v/>
      </c>
    </row>
    <row r="8">
      <c r="A8" s="5" t="inlineStr">
        <is>
          <t>Marketing</t>
        </is>
      </c>
      <c r="B8" s="9">
        <f>-B5*B4</f>
        <v/>
      </c>
      <c r="C8" s="9">
        <f>-C5*C4</f>
        <v/>
      </c>
      <c r="D8" s="9">
        <f>-D5*D4</f>
        <v/>
      </c>
    </row>
    <row r="9">
      <c r="A9" s="5" t="inlineStr">
        <is>
          <t>Fixed OpEx</t>
        </is>
      </c>
      <c r="B9" s="9">
        <f>-'Assumptions+Unit'!B18</f>
        <v/>
      </c>
      <c r="C9" s="9">
        <f>-'Assumptions+Unit'!B18</f>
        <v/>
      </c>
      <c r="D9" s="9">
        <f>-'Assumptions+Unit'!B18</f>
        <v/>
      </c>
    </row>
    <row r="10">
      <c r="A10" s="10" t="inlineStr">
        <is>
          <t>EBITDA</t>
        </is>
      </c>
      <c r="B10" s="9">
        <f>B7+B8+B9</f>
        <v/>
      </c>
      <c r="C10" s="9">
        <f>C7+C8+C9</f>
        <v/>
      </c>
      <c r="D10" s="9">
        <f>D7+D8+D9</f>
        <v/>
      </c>
    </row>
    <row r="11">
      <c r="A11" s="10" t="inlineStr">
        <is>
          <t>EBITDA % of net</t>
        </is>
      </c>
      <c r="B11" s="11">
        <f>B10/B6</f>
        <v/>
      </c>
      <c r="C11" s="11">
        <f>C10/C6</f>
        <v/>
      </c>
      <c r="D11" s="11">
        <f>D10/D6</f>
        <v/>
      </c>
    </row>
    <row r="13">
      <c r="A13" s="2" t="inlineStr">
        <is>
          <t>Year one honestly: prove the waitlist at 3–8k units before committing the mill to 15,000.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2026-07-03T08:42:07Z</dcterms:created>
  <dcterms:modified xsi:type="dcterms:W3CDTF">2026-07-03T08:42:07Z</dcterms:modified>
</cp:coreProperties>
</file>